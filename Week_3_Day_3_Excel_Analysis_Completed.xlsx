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4"/>
    <sheet state="visible" name="Pivot_Analysis" sheetId="2" r:id="rId5"/>
    <sheet state="visible" name="Region_Summary" sheetId="3" r:id="rId6"/>
    <sheet state="visible" name="Product_Summary" sheetId="4" r:id="rId7"/>
    <sheet state="visible" name="Growth_Analysis" sheetId="5" r:id="rId8"/>
    <sheet state="visible" name="Dashboard" sheetId="6" r:id="rId9"/>
    <sheet state="visible" name="Power_Query" sheetId="7" r:id="rId10"/>
    <sheet state="visible" name="AI_Task" sheetId="8" r:id="rId11"/>
    <sheet state="visible" name="Git_Tasks" sheetId="9" r:id="rId12"/>
    <sheet state="visible" name="Deliverables" sheetId="10" r:id="rId13"/>
  </sheets>
  <definedNames>
    <definedName hidden="1" localSheetId="0" name="_xlnm._FilterDatabase">Raw_Data!$A$1:$G$25</definedName>
  </definedNames>
  <calcPr/>
</workbook>
</file>

<file path=xl/sharedStrings.xml><?xml version="1.0" encoding="utf-8"?>
<sst xmlns="http://schemas.openxmlformats.org/spreadsheetml/2006/main" count="229" uniqueCount="84">
  <si>
    <t>Region</t>
  </si>
  <si>
    <t>Product</t>
  </si>
  <si>
    <t>Quarter</t>
  </si>
  <si>
    <t>Revenue</t>
  </si>
  <si>
    <t>Cost</t>
  </si>
  <si>
    <t>Margin</t>
  </si>
  <si>
    <t>Margin %</t>
  </si>
  <si>
    <t>North</t>
  </si>
  <si>
    <t>Laptop</t>
  </si>
  <si>
    <t>Q1</t>
  </si>
  <si>
    <t>South</t>
  </si>
  <si>
    <t>Mobile</t>
  </si>
  <si>
    <t>East</t>
  </si>
  <si>
    <t>West</t>
  </si>
  <si>
    <t>Tablet</t>
  </si>
  <si>
    <t>Q2</t>
  </si>
  <si>
    <t>Q3</t>
  </si>
  <si>
    <t>Q4</t>
  </si>
  <si>
    <t>PivotTable Summary — Revenue by Region, Product &amp; Quarter</t>
  </si>
  <si>
    <t>Q1 Revenue</t>
  </si>
  <si>
    <t>Q2 Revenue</t>
  </si>
  <si>
    <t>Q3 Revenue</t>
  </si>
  <si>
    <t>Q4 Revenue</t>
  </si>
  <si>
    <t>Total Revenue</t>
  </si>
  <si>
    <t>Total Cost</t>
  </si>
  <si>
    <t>Q2 Growth %</t>
  </si>
  <si>
    <t>Q3 Growth %</t>
  </si>
  <si>
    <t>Q4 Growth %</t>
  </si>
  <si>
    <t>WEEK 3 DAY 3 — EXCEL ANALYSIS DASHBOARD</t>
  </si>
  <si>
    <t>Pivot-style analysis • Margin &amp; Growth • KPI monitoring • Charts</t>
  </si>
  <si>
    <t>Total Profit</t>
  </si>
  <si>
    <t>Overall Margin %</t>
  </si>
  <si>
    <t>Region Performance</t>
  </si>
  <si>
    <t>Dynamic Filter Controls</t>
  </si>
  <si>
    <t>All</t>
  </si>
  <si>
    <t>Note: Use these dropdowns as slicer-style controls. Native PivotChart slicers require Excel's PivotTable object.</t>
  </si>
  <si>
    <t>Power Query — Multiple CSV Import / Transform / Load</t>
  </si>
  <si>
    <t>1. Put all source CSV files in one folder.</t>
  </si>
  <si>
    <t>2. Excel → Data → Get Data → From File → From Folder.</t>
  </si>
  <si>
    <t>3. Combine &amp; Transform Data.</t>
  </si>
  <si>
    <t>4. Promote headers; set Region/Product/Quarter as Text and Revenue/Cost as Decimal Number.</t>
  </si>
  <si>
    <t>5. Remove blank rows and duplicates; trim/clean text.</t>
  </si>
  <si>
    <t>6. Add Margin = Revenue - Cost and Margin % = Margin / Revenue.</t>
  </si>
  <si>
    <t>7. Close &amp; Load to a worksheet or Data Model.</t>
  </si>
  <si>
    <t>8. Refresh All whenever new CSV files are added.</t>
  </si>
  <si>
    <t>Example Power Query M code</t>
  </si>
  <si>
    <t>let</t>
  </si>
  <si>
    <t xml:space="preserve">    Source = Folder.Files("C:\Data\SalesCSV"),</t>
  </si>
  <si>
    <t xml:space="preserve">    KeepCSV = Table.SelectRows(Source, each Text.EndsWith([Extension], ".csv")),</t>
  </si>
  <si>
    <t xml:space="preserve">    AddData = Table.AddColumn(KeepCSV, "Data", each Csv.Document([Content],[Delimiter=",", Encoding=65001, QuoteStyle=QuoteStyle.Csv])),</t>
  </si>
  <si>
    <t xml:space="preserve">    Expanded = Table.ExpandTableColumn(AddData, "Data", {"Column1","Column2","Column3","Column4","Column5"}, {"Region","Product","Quarter","Revenue","Cost"}),</t>
  </si>
  <si>
    <t xml:space="preserve">    Types = Table.TransformColumnTypes(Expanded, {{"Region", type text},{"Product", type text},{"Quarter", type text},{"Revenue", type number},{"Cost", type number}}),</t>
  </si>
  <si>
    <t xml:space="preserve">    Margin = Table.AddColumn(Types, "Margin", each [Revenue]-[Cost], type number),</t>
  </si>
  <si>
    <t xml:space="preserve">    MarginPct = Table.AddColumn(Margin, "Margin %", each if [Revenue]=0 then null else [Margin]/[Revenue], Percentage.Type)</t>
  </si>
  <si>
    <t>in</t>
  </si>
  <si>
    <t xml:space="preserve">    MarginPct</t>
  </si>
  <si>
    <t>AI Task — Professional Excel Features</t>
  </si>
  <si>
    <t>Question</t>
  </si>
  <si>
    <t>What Excel features do professional analysts use beyond basic formulas?</t>
  </si>
  <si>
    <t>Answer</t>
  </si>
  <si>
    <t>PivotTables, PivotCharts, Power Query, Power Pivot, Data Models, XLOOKUP, INDEX/MATCH, SUMIFS, COUNTIFS, conditional formatting, slicers/timelines, dynamic arrays, dashboards, What-If Analysis and VBA/macros.</t>
  </si>
  <si>
    <t>Work Log</t>
  </si>
  <si>
    <t>Used Pivot-style revenue analysis, calculated Margin and Growth %, documented a Power Query pipeline, created dashboard charts, KPI conditional formatting and slicer-style dropdown controls.</t>
  </si>
  <si>
    <t>Git Tasks — Week 3 Day 3</t>
  </si>
  <si>
    <t>Step</t>
  </si>
  <si>
    <t>Command / Action</t>
  </si>
  <si>
    <t>git checkout -b feature/week-3-day-3</t>
  </si>
  <si>
    <t>git add .</t>
  </si>
  <si>
    <t>git commit -m "feat: excel-analysis week-3-day-3 complete"</t>
  </si>
  <si>
    <t>git push origin feature/week-3-day-3</t>
  </si>
  <si>
    <t>Create a Pull Request: feature/week-3-day-3 → main</t>
  </si>
  <si>
    <t>Link the completed Excel deliverable in the PR description.</t>
  </si>
  <si>
    <t>Task</t>
  </si>
  <si>
    <t>Completed</t>
  </si>
  <si>
    <t>Pivot-style revenue summary by region, product and quarter</t>
  </si>
  <si>
    <t>YES</t>
  </si>
  <si>
    <t>Margin calculation</t>
  </si>
  <si>
    <t>Growth % calculation</t>
  </si>
  <si>
    <t>Power Query import/transform/load workflow documented</t>
  </si>
  <si>
    <t>PivotChart-style dashboard charts</t>
  </si>
  <si>
    <t>Dynamic filter/slicer-style dropdown controls</t>
  </si>
  <si>
    <t>KPI conditional formatting</t>
  </si>
  <si>
    <t>AI task answer and work log</t>
  </si>
  <si>
    <t>Git commands and PR checklist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</si>
</sst>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₹#,##0"/>
    <numFmt numFmtId="165" formatCode="0.0%"/>
  </numFmts>
  <fonts count="10">
    <font>
      <sz val="11.0"/>
      <color/>
      <name val="Arial"/>
      <scheme val="minor"/>
    </font>
    <font>
      <b/>
      <color rgb="FFFFFFFF"/>
    </font>
    <font>
      <sz val="11.0"/>
      <color/>
      <name val="Calibri"/>
    </font>
    <font>
      <b/>
      <sz val="16.0"/>
      <color rgb="FF203864"/>
    </font>
    <font>
      <b/>
      <sz val="20.0"/>
      <color rgb="FF203864"/>
    </font>
    <font>
      <i/>
      <color rgb="FF666666"/>
    </font>
    <font/>
    <font>
      <b/>
      <sz val="14.0"/>
      <color rgb="FF203864"/>
    </font>
    <font>
      <b/>
    </font>
    <font>
      <sz val="10.0"/>
      <name val="Consolas"/>
    </font>
  </fonts>
  <fills count="6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C6EFCE"/>
        <bgColor rgb="FFC6EFCE"/>
      </patternFill>
    </fill>
  </fills>
  <borders count="9">
    <border/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</border>
    <border>
      <left/>
      <top/>
      <bottom/>
    </border>
    <border>
      <right/>
      <top/>
      <bottom/>
    </border>
    <border>
      <left/>
      <top/>
    </border>
    <border>
      <right/>
      <top/>
    </border>
    <border>
      <left/>
      <bottom/>
    </border>
    <border>
      <right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0" fillId="2" fontId="2" numFmtId="0" xfId="0" applyAlignment="1" applyFill="1" applyFont="1">
      <alignment vertical="center"/>
    </xf>
    <xf borderId="0" fillId="2" fontId="2" numFmtId="164" xfId="0" applyAlignment="1" applyFill="1" applyFont="1" applyNumberFormat="1">
      <alignment vertical="center"/>
    </xf>
    <xf borderId="0" fillId="2" fontId="2" numFmtId="165" xfId="0" applyAlignment="1" applyFill="1" applyFont="1" applyNumberFormat="1">
      <alignment vertical="center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3" numFmtId="0" xfId="0" applyAlignment="1" applyFont="1">
      <alignment vertical="center"/>
    </xf>
    <xf borderId="1" fillId="3" fontId="1" numFmtId="0" xfId="0" applyAlignment="1" applyBorder="1" applyFill="1" applyFont="1">
      <alignment vertical="center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2" fillId="3" fontId="1" numFmtId="0" xfId="0" applyAlignment="1" applyBorder="1" applyFill="1" applyFont="1">
      <alignment vertical="center"/>
    </xf>
    <xf borderId="3" fillId="0" fontId="6" numFmtId="0" xfId="0" applyBorder="1" applyFont="1"/>
    <xf borderId="4" fillId="4" fontId="3" numFmtId="164" xfId="0" applyAlignment="1" applyBorder="1" applyFill="1" applyFont="1" applyNumberFormat="1">
      <alignment vertical="center"/>
    </xf>
    <xf borderId="5" fillId="0" fontId="6" numFmtId="0" xfId="0" applyBorder="1" applyFont="1"/>
    <xf borderId="4" fillId="4" fontId="3" numFmtId="165" xfId="0" applyAlignment="1" applyBorder="1" applyFill="1" applyFont="1" applyNumberFormat="1">
      <alignment vertical="center"/>
    </xf>
    <xf borderId="6" fillId="0" fontId="6" numFmtId="0" xfId="0" applyBorder="1" applyFont="1"/>
    <xf borderId="7" fillId="0" fontId="6" numFmtId="0" xfId="0" applyBorder="1" applyFont="1"/>
    <xf borderId="0" fillId="0" fontId="7" numFmtId="0" xfId="0" applyAlignment="1" applyFont="1">
      <alignment vertical="center"/>
    </xf>
    <xf borderId="1" fillId="3" fontId="8" numFmtId="0" xfId="0" applyAlignment="1" applyBorder="1" applyFill="1" applyFont="1">
      <alignment vertical="center"/>
    </xf>
    <xf borderId="0" fillId="0" fontId="8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8" fillId="3" fontId="1" numFmtId="0" xfId="0" applyAlignment="1" applyBorder="1" applyFill="1" applyFont="1">
      <alignment vertical="center"/>
    </xf>
    <xf borderId="0" fillId="0" fontId="9" numFmtId="0" xfId="0" applyAlignment="1" applyFont="1">
      <alignment vertical="center"/>
    </xf>
    <xf borderId="8" fillId="5" fontId="2" numFmtId="0" xfId="0" applyAlignment="1" applyBorder="1" applyFill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Revenue by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Region_Summary!$F$1</c:f>
            </c:strRef>
          </c:tx>
          <c:spPr>
            <a:solidFill>
              <a:srgbClr val="4285F4"/>
            </a:solidFill>
            <a:ln cmpd="sng">
              <a:noFill/>
            </a:ln>
          </c:spPr>
          <c:cat>
            <c:strRef>
              <c:f>Region_Summary!$A$2:$A$5</c:f>
            </c:strRef>
          </c:cat>
          <c:val>
            <c:numRef>
              <c:f>Region_Summary!$F$2:$F$5</c:f>
              <c:numCache/>
            </c:numRef>
          </c:val>
        </c:ser>
        <c:axId val="1236789375"/>
        <c:axId val="2034828980"/>
      </c:barChart>
      <c:catAx>
        <c:axId val="12367893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4828980"/>
      </c:catAx>
      <c:valAx>
        <c:axId val="20348289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Revenue (₹)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67893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Quarterly Revenue by Region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Region_Summary!$B$1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Region_Summary!$A$2:$A$5</c:f>
            </c:strRef>
          </c:cat>
          <c:val>
            <c:numRef>
              <c:f>Region_Summary!$B$2:$B$5</c:f>
              <c:numCache/>
            </c:numRef>
          </c:val>
          <c:smooth val="0"/>
        </c:ser>
        <c:ser>
          <c:idx val="1"/>
          <c:order val="1"/>
          <c:tx>
            <c:strRef>
              <c:f>Region_Summary!$C$1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Region_Summary!$A$2:$A$5</c:f>
            </c:strRef>
          </c:cat>
          <c:val>
            <c:numRef>
              <c:f>Region_Summary!$C$2:$C$5</c:f>
              <c:numCache/>
            </c:numRef>
          </c:val>
          <c:smooth val="0"/>
        </c:ser>
        <c:ser>
          <c:idx val="2"/>
          <c:order val="2"/>
          <c:tx>
            <c:strRef>
              <c:f>Region_Summary!$D$1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Region_Summary!$A$2:$A$5</c:f>
            </c:strRef>
          </c:cat>
          <c:val>
            <c:numRef>
              <c:f>Region_Summary!$D$2:$D$5</c:f>
              <c:numCache/>
            </c:numRef>
          </c:val>
          <c:smooth val="0"/>
        </c:ser>
        <c:ser>
          <c:idx val="3"/>
          <c:order val="3"/>
          <c:tx>
            <c:strRef>
              <c:f>Region_Summary!$E$1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Region_Summary!$A$2:$A$5</c:f>
            </c:strRef>
          </c:cat>
          <c:val>
            <c:numRef>
              <c:f>Region_Summary!$E$2:$E$5</c:f>
              <c:numCache/>
            </c:numRef>
          </c:val>
          <c:smooth val="0"/>
        </c:ser>
        <c:axId val="2019277150"/>
        <c:axId val="716556074"/>
      </c:lineChart>
      <c:catAx>
        <c:axId val="20192771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6556074"/>
      </c:catAx>
      <c:valAx>
        <c:axId val="7165560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Revenue (₹)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92771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Total Revenue by Product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Product_Summary!$F$1</c:f>
            </c:strRef>
          </c:tx>
          <c:spPr>
            <a:solidFill>
              <a:srgbClr val="4285F4"/>
            </a:solidFill>
            <a:ln cmpd="sng">
              <a:noFill/>
            </a:ln>
          </c:spPr>
          <c:cat>
            <c:strRef>
              <c:f>Product_Summary!$A$2:$A$4</c:f>
            </c:strRef>
          </c:cat>
          <c:val>
            <c:numRef>
              <c:f>Product_Summary!$F$2:$F$4</c:f>
              <c:numCache/>
            </c:numRef>
          </c:val>
        </c:ser>
        <c:axId val="269091445"/>
        <c:axId val="485078585"/>
      </c:barChart>
      <c:catAx>
        <c:axId val="26909144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5078585"/>
      </c:catAx>
      <c:valAx>
        <c:axId val="48507858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909144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15</xdr:row>
      <xdr:rowOff>0</xdr:rowOff>
    </xdr:from>
    <xdr:ext cx="3952875" cy="25146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15</xdr:row>
      <xdr:rowOff>0</xdr:rowOff>
    </xdr:from>
    <xdr:ext cx="3952875" cy="25146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30</xdr:row>
      <xdr:rowOff>0</xdr:rowOff>
    </xdr:from>
    <xdr:ext cx="3952875" cy="25146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0.5"/>
    <col customWidth="1" min="7" max="7" width="18.38"/>
    <col customWidth="1" min="8" max="11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3">
        <v>50000.0</v>
      </c>
      <c r="E2" s="3">
        <v>35000.0</v>
      </c>
      <c r="F2" s="3" t="str">
        <f t="shared" ref="F2:F25" si="1">D2-E2</f>
        <v>₹15,000</v>
      </c>
      <c r="G2" s="4" t="str">
        <f t="shared" ref="G2:G25" si="2">IFERROR(F2/D2,0)</f>
        <v>30.0%</v>
      </c>
    </row>
    <row r="3">
      <c r="A3" s="5" t="s">
        <v>10</v>
      </c>
      <c r="B3" s="5" t="s">
        <v>11</v>
      </c>
      <c r="C3" s="5" t="s">
        <v>9</v>
      </c>
      <c r="D3" s="6">
        <v>40000.0</v>
      </c>
      <c r="E3" s="6">
        <v>28000.0</v>
      </c>
      <c r="F3" s="6" t="str">
        <f t="shared" si="1"/>
        <v>₹12,000</v>
      </c>
      <c r="G3" s="7" t="str">
        <f t="shared" si="2"/>
        <v>30.0%</v>
      </c>
    </row>
    <row r="4">
      <c r="A4" s="2" t="s">
        <v>12</v>
      </c>
      <c r="B4" s="2" t="s">
        <v>8</v>
      </c>
      <c r="C4" s="2" t="s">
        <v>9</v>
      </c>
      <c r="D4" s="3">
        <v>50000.0</v>
      </c>
      <c r="E4" s="3">
        <v>34000.0</v>
      </c>
      <c r="F4" s="3" t="str">
        <f t="shared" si="1"/>
        <v>₹16,000</v>
      </c>
      <c r="G4" s="4" t="str">
        <f t="shared" si="2"/>
        <v>32.0%</v>
      </c>
    </row>
    <row r="5">
      <c r="A5" s="5" t="s">
        <v>13</v>
      </c>
      <c r="B5" s="5" t="s">
        <v>14</v>
      </c>
      <c r="C5" s="5" t="s">
        <v>9</v>
      </c>
      <c r="D5" s="6">
        <v>45000.0</v>
      </c>
      <c r="E5" s="6">
        <v>31000.0</v>
      </c>
      <c r="F5" s="6" t="str">
        <f t="shared" si="1"/>
        <v>₹14,000</v>
      </c>
      <c r="G5" s="7" t="str">
        <f t="shared" si="2"/>
        <v>31.1%</v>
      </c>
    </row>
    <row r="6">
      <c r="A6" s="2" t="s">
        <v>7</v>
      </c>
      <c r="B6" s="2" t="s">
        <v>11</v>
      </c>
      <c r="C6" s="2" t="s">
        <v>15</v>
      </c>
      <c r="D6" s="3">
        <v>70000.0</v>
      </c>
      <c r="E6" s="3">
        <v>45000.0</v>
      </c>
      <c r="F6" s="3" t="str">
        <f t="shared" si="1"/>
        <v>₹25,000</v>
      </c>
      <c r="G6" s="4" t="str">
        <f t="shared" si="2"/>
        <v>35.7%</v>
      </c>
    </row>
    <row r="7">
      <c r="A7" s="5" t="s">
        <v>10</v>
      </c>
      <c r="B7" s="5" t="s">
        <v>8</v>
      </c>
      <c r="C7" s="5" t="s">
        <v>15</v>
      </c>
      <c r="D7" s="6">
        <v>55000.0</v>
      </c>
      <c r="E7" s="6">
        <v>37000.0</v>
      </c>
      <c r="F7" s="6" t="str">
        <f t="shared" si="1"/>
        <v>₹18,000</v>
      </c>
      <c r="G7" s="7" t="str">
        <f t="shared" si="2"/>
        <v>32.7%</v>
      </c>
    </row>
    <row r="8">
      <c r="A8" s="2" t="s">
        <v>12</v>
      </c>
      <c r="B8" s="2" t="s">
        <v>8</v>
      </c>
      <c r="C8" s="2" t="s">
        <v>15</v>
      </c>
      <c r="D8" s="3">
        <v>60000.0</v>
      </c>
      <c r="E8" s="3">
        <v>42000.0</v>
      </c>
      <c r="F8" s="3" t="str">
        <f t="shared" si="1"/>
        <v>₹18,000</v>
      </c>
      <c r="G8" s="4" t="str">
        <f t="shared" si="2"/>
        <v>30.0%</v>
      </c>
    </row>
    <row r="9">
      <c r="A9" s="5" t="s">
        <v>13</v>
      </c>
      <c r="B9" s="5" t="s">
        <v>14</v>
      </c>
      <c r="C9" s="5" t="s">
        <v>15</v>
      </c>
      <c r="D9" s="6">
        <v>30000.0</v>
      </c>
      <c r="E9" s="6">
        <v>21000.0</v>
      </c>
      <c r="F9" s="6" t="str">
        <f t="shared" si="1"/>
        <v>₹9,000</v>
      </c>
      <c r="G9" s="7" t="str">
        <f t="shared" si="2"/>
        <v>30.0%</v>
      </c>
    </row>
    <row r="10">
      <c r="A10" s="2" t="s">
        <v>7</v>
      </c>
      <c r="B10" s="2" t="s">
        <v>14</v>
      </c>
      <c r="C10" s="2" t="s">
        <v>16</v>
      </c>
      <c r="D10" s="3">
        <v>62000.0</v>
      </c>
      <c r="E10" s="3">
        <v>43000.0</v>
      </c>
      <c r="F10" s="3" t="str">
        <f t="shared" si="1"/>
        <v>₹19,000</v>
      </c>
      <c r="G10" s="4" t="str">
        <f t="shared" si="2"/>
        <v>30.6%</v>
      </c>
    </row>
    <row r="11">
      <c r="A11" s="5" t="s">
        <v>10</v>
      </c>
      <c r="B11" s="5" t="s">
        <v>14</v>
      </c>
      <c r="C11" s="5" t="s">
        <v>16</v>
      </c>
      <c r="D11" s="6">
        <v>60000.0</v>
      </c>
      <c r="E11" s="6">
        <v>41000.0</v>
      </c>
      <c r="F11" s="6" t="str">
        <f t="shared" si="1"/>
        <v>₹19,000</v>
      </c>
      <c r="G11" s="7" t="str">
        <f t="shared" si="2"/>
        <v>31.7%</v>
      </c>
    </row>
    <row r="12">
      <c r="A12" s="2" t="s">
        <v>12</v>
      </c>
      <c r="B12" s="2" t="s">
        <v>14</v>
      </c>
      <c r="C12" s="2" t="s">
        <v>16</v>
      </c>
      <c r="D12" s="3">
        <v>55000.0</v>
      </c>
      <c r="E12" s="3">
        <v>38000.0</v>
      </c>
      <c r="F12" s="3" t="str">
        <f t="shared" si="1"/>
        <v>₹17,000</v>
      </c>
      <c r="G12" s="4" t="str">
        <f t="shared" si="2"/>
        <v>30.9%</v>
      </c>
    </row>
    <row r="13">
      <c r="A13" s="5" t="s">
        <v>13</v>
      </c>
      <c r="B13" s="5" t="s">
        <v>11</v>
      </c>
      <c r="C13" s="5" t="s">
        <v>16</v>
      </c>
      <c r="D13" s="6">
        <v>52000.0</v>
      </c>
      <c r="E13" s="6">
        <v>35000.0</v>
      </c>
      <c r="F13" s="6" t="str">
        <f t="shared" si="1"/>
        <v>₹17,000</v>
      </c>
      <c r="G13" s="7" t="str">
        <f t="shared" si="2"/>
        <v>32.7%</v>
      </c>
    </row>
    <row r="14">
      <c r="A14" s="2" t="s">
        <v>7</v>
      </c>
      <c r="B14" s="2" t="s">
        <v>8</v>
      </c>
      <c r="C14" s="2" t="s">
        <v>17</v>
      </c>
      <c r="D14" s="3">
        <v>75000.0</v>
      </c>
      <c r="E14" s="3">
        <v>50000.0</v>
      </c>
      <c r="F14" s="3" t="str">
        <f t="shared" si="1"/>
        <v>₹25,000</v>
      </c>
      <c r="G14" s="4" t="str">
        <f t="shared" si="2"/>
        <v>33.3%</v>
      </c>
    </row>
    <row r="15">
      <c r="A15" s="5" t="s">
        <v>10</v>
      </c>
      <c r="B15" s="5" t="s">
        <v>11</v>
      </c>
      <c r="C15" s="5" t="s">
        <v>17</v>
      </c>
      <c r="D15" s="6">
        <v>68000.0</v>
      </c>
      <c r="E15" s="6">
        <v>46000.0</v>
      </c>
      <c r="F15" s="6" t="str">
        <f t="shared" si="1"/>
        <v>₹22,000</v>
      </c>
      <c r="G15" s="7" t="str">
        <f t="shared" si="2"/>
        <v>32.4%</v>
      </c>
    </row>
    <row r="16">
      <c r="A16" s="2" t="s">
        <v>12</v>
      </c>
      <c r="B16" s="2" t="s">
        <v>11</v>
      </c>
      <c r="C16" s="2" t="s">
        <v>17</v>
      </c>
      <c r="D16" s="3">
        <v>65000.0</v>
      </c>
      <c r="E16" s="3">
        <v>44000.0</v>
      </c>
      <c r="F16" s="3" t="str">
        <f t="shared" si="1"/>
        <v>₹21,000</v>
      </c>
      <c r="G16" s="4" t="str">
        <f t="shared" si="2"/>
        <v>32.3%</v>
      </c>
    </row>
    <row r="17">
      <c r="A17" s="5" t="s">
        <v>13</v>
      </c>
      <c r="B17" s="5" t="s">
        <v>8</v>
      </c>
      <c r="C17" s="5" t="s">
        <v>17</v>
      </c>
      <c r="D17" s="6">
        <v>58000.0</v>
      </c>
      <c r="E17" s="6">
        <v>39000.0</v>
      </c>
      <c r="F17" s="6" t="str">
        <f t="shared" si="1"/>
        <v>₹19,000</v>
      </c>
      <c r="G17" s="7" t="str">
        <f t="shared" si="2"/>
        <v>32.8%</v>
      </c>
    </row>
    <row r="18">
      <c r="A18" s="2" t="s">
        <v>7</v>
      </c>
      <c r="B18" s="2" t="s">
        <v>14</v>
      </c>
      <c r="C18" s="2" t="s">
        <v>9</v>
      </c>
      <c r="D18" s="3">
        <v>42000.0</v>
      </c>
      <c r="E18" s="3">
        <v>29000.0</v>
      </c>
      <c r="F18" s="3" t="str">
        <f t="shared" si="1"/>
        <v>₹13,000</v>
      </c>
      <c r="G18" s="4" t="str">
        <f t="shared" si="2"/>
        <v>31.0%</v>
      </c>
    </row>
    <row r="19">
      <c r="A19" s="5" t="s">
        <v>10</v>
      </c>
      <c r="B19" s="5" t="s">
        <v>11</v>
      </c>
      <c r="C19" s="5" t="s">
        <v>15</v>
      </c>
      <c r="D19" s="6">
        <v>47000.0</v>
      </c>
      <c r="E19" s="6">
        <v>32000.0</v>
      </c>
      <c r="F19" s="6" t="str">
        <f t="shared" si="1"/>
        <v>₹15,000</v>
      </c>
      <c r="G19" s="7" t="str">
        <f t="shared" si="2"/>
        <v>31.9%</v>
      </c>
    </row>
    <row r="20">
      <c r="A20" s="2" t="s">
        <v>12</v>
      </c>
      <c r="B20" s="2" t="s">
        <v>11</v>
      </c>
      <c r="C20" s="2" t="s">
        <v>15</v>
      </c>
      <c r="D20" s="3">
        <v>53000.0</v>
      </c>
      <c r="E20" s="3">
        <v>36000.0</v>
      </c>
      <c r="F20" s="3" t="str">
        <f t="shared" si="1"/>
        <v>₹17,000</v>
      </c>
      <c r="G20" s="4" t="str">
        <f t="shared" si="2"/>
        <v>32.1%</v>
      </c>
    </row>
    <row r="21" ht="15.75" customHeight="1">
      <c r="A21" s="5" t="s">
        <v>13</v>
      </c>
      <c r="B21" s="5" t="s">
        <v>8</v>
      </c>
      <c r="C21" s="5" t="s">
        <v>15</v>
      </c>
      <c r="D21" s="6">
        <v>49000.0</v>
      </c>
      <c r="E21" s="6">
        <v>33000.0</v>
      </c>
      <c r="F21" s="6" t="str">
        <f t="shared" si="1"/>
        <v>₹16,000</v>
      </c>
      <c r="G21" s="7" t="str">
        <f t="shared" si="2"/>
        <v>32.7%</v>
      </c>
    </row>
    <row r="22" ht="15.75" customHeight="1">
      <c r="A22" s="2" t="s">
        <v>7</v>
      </c>
      <c r="B22" s="2" t="s">
        <v>11</v>
      </c>
      <c r="C22" s="2" t="s">
        <v>16</v>
      </c>
      <c r="D22" s="3">
        <v>58000.0</v>
      </c>
      <c r="E22" s="3">
        <v>39000.0</v>
      </c>
      <c r="F22" s="3" t="str">
        <f t="shared" si="1"/>
        <v>₹19,000</v>
      </c>
      <c r="G22" s="4" t="str">
        <f t="shared" si="2"/>
        <v>32.8%</v>
      </c>
    </row>
    <row r="23" ht="15.75" customHeight="1">
      <c r="A23" s="5" t="s">
        <v>10</v>
      </c>
      <c r="B23" s="5" t="s">
        <v>8</v>
      </c>
      <c r="C23" s="5" t="s">
        <v>16</v>
      </c>
      <c r="D23" s="6">
        <v>51000.0</v>
      </c>
      <c r="E23" s="6">
        <v>35000.0</v>
      </c>
      <c r="F23" s="6" t="str">
        <f t="shared" si="1"/>
        <v>₹16,000</v>
      </c>
      <c r="G23" s="7" t="str">
        <f t="shared" si="2"/>
        <v>31.4%</v>
      </c>
    </row>
    <row r="24" ht="15.75" customHeight="1">
      <c r="A24" s="2" t="s">
        <v>12</v>
      </c>
      <c r="B24" s="2" t="s">
        <v>8</v>
      </c>
      <c r="C24" s="2" t="s">
        <v>17</v>
      </c>
      <c r="D24" s="3">
        <v>72000.0</v>
      </c>
      <c r="E24" s="3">
        <v>48000.0</v>
      </c>
      <c r="F24" s="3" t="str">
        <f t="shared" si="1"/>
        <v>₹24,000</v>
      </c>
      <c r="G24" s="4" t="str">
        <f t="shared" si="2"/>
        <v>33.3%</v>
      </c>
    </row>
    <row r="25" ht="15.75" customHeight="1">
      <c r="A25" s="5" t="s">
        <v>13</v>
      </c>
      <c r="B25" s="5" t="s">
        <v>14</v>
      </c>
      <c r="C25" s="5" t="s">
        <v>17</v>
      </c>
      <c r="D25" s="6">
        <v>56000.0</v>
      </c>
      <c r="E25" s="6">
        <v>38000.0</v>
      </c>
      <c r="F25" s="6" t="str">
        <f t="shared" si="1"/>
        <v>₹18,000</v>
      </c>
      <c r="G25" s="7" t="str">
        <f t="shared" si="2"/>
        <v>32.1%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G$25"/>
  <conditionalFormatting sqref="G2:G25">
    <cfRule type="cellIs" dxfId="1" priority="1" operator="greaterThanOrEqual">
      <formula>0.3</formula>
    </cfRule>
  </conditionalFormatting>
  <conditionalFormatting sqref="G2:G25">
    <cfRule type="cellIs" dxfId="2" priority="2" operator="between">
      <formula>0.2</formula>
      <formula>0.299999</formula>
    </cfRule>
  </conditionalFormatting>
  <conditionalFormatting sqref="G2:G25">
    <cfRule type="cellIs" dxfId="3" priority="3" operator="lessThan">
      <formula>0.2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1.0"/>
    <col customWidth="1" min="2" max="6" width="10.5"/>
    <col customWidth="1" min="7" max="7" width="13.13"/>
    <col customWidth="1" min="8" max="9" width="10.5"/>
    <col customWidth="1" min="10" max="10" width="18.38"/>
    <col customWidth="1" min="11" max="11" width="7.63"/>
  </cols>
  <sheetData>
    <row r="1">
      <c r="A1" s="8" t="s">
        <v>18</v>
      </c>
    </row>
    <row r="2">
      <c r="A2" s="9" t="s">
        <v>0</v>
      </c>
      <c r="B2" s="9" t="s">
        <v>1</v>
      </c>
      <c r="C2" s="9" t="s">
        <v>19</v>
      </c>
      <c r="D2" s="9" t="s">
        <v>20</v>
      </c>
      <c r="E2" s="9" t="s">
        <v>21</v>
      </c>
      <c r="F2" s="9" t="s">
        <v>22</v>
      </c>
      <c r="G2" s="9" t="s">
        <v>23</v>
      </c>
      <c r="H2" s="9" t="s">
        <v>24</v>
      </c>
      <c r="I2" s="9" t="s">
        <v>5</v>
      </c>
      <c r="J2" s="9" t="s">
        <v>6</v>
      </c>
    </row>
    <row r="3">
      <c r="A3" s="10" t="s">
        <v>12</v>
      </c>
      <c r="B3" s="10" t="s">
        <v>8</v>
      </c>
      <c r="C3" s="11">
        <v>50000.0</v>
      </c>
      <c r="D3" s="11">
        <v>60000.0</v>
      </c>
      <c r="E3" s="11">
        <v>0.0</v>
      </c>
      <c r="F3" s="11">
        <v>72000.0</v>
      </c>
      <c r="G3" s="11">
        <v>182000.0</v>
      </c>
      <c r="H3" s="11">
        <v>124000.0</v>
      </c>
      <c r="I3" s="11">
        <v>58000.0</v>
      </c>
      <c r="J3" s="12">
        <v>0.3186813186813187</v>
      </c>
    </row>
    <row r="4">
      <c r="A4" s="10" t="s">
        <v>12</v>
      </c>
      <c r="B4" s="10" t="s">
        <v>11</v>
      </c>
      <c r="C4" s="11">
        <v>0.0</v>
      </c>
      <c r="D4" s="11">
        <v>53000.0</v>
      </c>
      <c r="E4" s="11">
        <v>0.0</v>
      </c>
      <c r="F4" s="11">
        <v>65000.0</v>
      </c>
      <c r="G4" s="11">
        <v>118000.0</v>
      </c>
      <c r="H4" s="11">
        <v>80000.0</v>
      </c>
      <c r="I4" s="11">
        <v>38000.0</v>
      </c>
      <c r="J4" s="12">
        <v>0.3220338983050847</v>
      </c>
    </row>
    <row r="5">
      <c r="A5" s="10" t="s">
        <v>12</v>
      </c>
      <c r="B5" s="10" t="s">
        <v>14</v>
      </c>
      <c r="C5" s="11">
        <v>0.0</v>
      </c>
      <c r="D5" s="11">
        <v>0.0</v>
      </c>
      <c r="E5" s="11">
        <v>55000.0</v>
      </c>
      <c r="F5" s="11">
        <v>0.0</v>
      </c>
      <c r="G5" s="11">
        <v>55000.0</v>
      </c>
      <c r="H5" s="11">
        <v>38000.0</v>
      </c>
      <c r="I5" s="11">
        <v>17000.0</v>
      </c>
      <c r="J5" s="12">
        <v>0.3090909090909091</v>
      </c>
    </row>
    <row r="6">
      <c r="A6" s="10" t="s">
        <v>7</v>
      </c>
      <c r="B6" s="10" t="s">
        <v>8</v>
      </c>
      <c r="C6" s="11">
        <v>50000.0</v>
      </c>
      <c r="D6" s="11">
        <v>0.0</v>
      </c>
      <c r="E6" s="11">
        <v>0.0</v>
      </c>
      <c r="F6" s="11">
        <v>75000.0</v>
      </c>
      <c r="G6" s="11">
        <v>125000.0</v>
      </c>
      <c r="H6" s="11">
        <v>85000.0</v>
      </c>
      <c r="I6" s="11">
        <v>40000.0</v>
      </c>
      <c r="J6" s="12">
        <v>0.32</v>
      </c>
    </row>
    <row r="7">
      <c r="A7" s="10" t="s">
        <v>7</v>
      </c>
      <c r="B7" s="10" t="s">
        <v>11</v>
      </c>
      <c r="C7" s="11">
        <v>0.0</v>
      </c>
      <c r="D7" s="11">
        <v>70000.0</v>
      </c>
      <c r="E7" s="11">
        <v>58000.0</v>
      </c>
      <c r="F7" s="11">
        <v>0.0</v>
      </c>
      <c r="G7" s="11">
        <v>128000.0</v>
      </c>
      <c r="H7" s="11">
        <v>84000.0</v>
      </c>
      <c r="I7" s="11">
        <v>44000.0</v>
      </c>
      <c r="J7" s="12">
        <v>0.34375</v>
      </c>
    </row>
    <row r="8">
      <c r="A8" s="10" t="s">
        <v>7</v>
      </c>
      <c r="B8" s="10" t="s">
        <v>14</v>
      </c>
      <c r="C8" s="11">
        <v>42000.0</v>
      </c>
      <c r="D8" s="11">
        <v>0.0</v>
      </c>
      <c r="E8" s="11">
        <v>62000.0</v>
      </c>
      <c r="F8" s="11">
        <v>0.0</v>
      </c>
      <c r="G8" s="11">
        <v>104000.0</v>
      </c>
      <c r="H8" s="11">
        <v>72000.0</v>
      </c>
      <c r="I8" s="11">
        <v>32000.0</v>
      </c>
      <c r="J8" s="12">
        <v>0.3076923076923077</v>
      </c>
    </row>
    <row r="9">
      <c r="A9" s="10" t="s">
        <v>10</v>
      </c>
      <c r="B9" s="10" t="s">
        <v>8</v>
      </c>
      <c r="C9" s="11">
        <v>0.0</v>
      </c>
      <c r="D9" s="11">
        <v>55000.0</v>
      </c>
      <c r="E9" s="11">
        <v>51000.0</v>
      </c>
      <c r="F9" s="11">
        <v>0.0</v>
      </c>
      <c r="G9" s="11">
        <v>106000.0</v>
      </c>
      <c r="H9" s="11">
        <v>72000.0</v>
      </c>
      <c r="I9" s="11">
        <v>34000.0</v>
      </c>
      <c r="J9" s="12">
        <v>0.3207547169811321</v>
      </c>
    </row>
    <row r="10">
      <c r="A10" s="10" t="s">
        <v>10</v>
      </c>
      <c r="B10" s="10" t="s">
        <v>11</v>
      </c>
      <c r="C10" s="11">
        <v>40000.0</v>
      </c>
      <c r="D10" s="11">
        <v>47000.0</v>
      </c>
      <c r="E10" s="11">
        <v>0.0</v>
      </c>
      <c r="F10" s="11">
        <v>68000.0</v>
      </c>
      <c r="G10" s="11">
        <v>155000.0</v>
      </c>
      <c r="H10" s="11">
        <v>106000.0</v>
      </c>
      <c r="I10" s="11">
        <v>49000.0</v>
      </c>
      <c r="J10" s="12">
        <v>0.3161290322580645</v>
      </c>
    </row>
    <row r="11">
      <c r="A11" s="10" t="s">
        <v>10</v>
      </c>
      <c r="B11" s="10" t="s">
        <v>14</v>
      </c>
      <c r="C11" s="11">
        <v>0.0</v>
      </c>
      <c r="D11" s="11">
        <v>0.0</v>
      </c>
      <c r="E11" s="11">
        <v>60000.0</v>
      </c>
      <c r="F11" s="11">
        <v>0.0</v>
      </c>
      <c r="G11" s="11">
        <v>60000.0</v>
      </c>
      <c r="H11" s="11">
        <v>41000.0</v>
      </c>
      <c r="I11" s="11">
        <v>19000.0</v>
      </c>
      <c r="J11" s="12">
        <v>0.3166666666666667</v>
      </c>
    </row>
    <row r="12">
      <c r="A12" s="10" t="s">
        <v>13</v>
      </c>
      <c r="B12" s="10" t="s">
        <v>8</v>
      </c>
      <c r="C12" s="11">
        <v>0.0</v>
      </c>
      <c r="D12" s="11">
        <v>49000.0</v>
      </c>
      <c r="E12" s="11">
        <v>0.0</v>
      </c>
      <c r="F12" s="11">
        <v>58000.0</v>
      </c>
      <c r="G12" s="11">
        <v>107000.0</v>
      </c>
      <c r="H12" s="11">
        <v>72000.0</v>
      </c>
      <c r="I12" s="11">
        <v>35000.0</v>
      </c>
      <c r="J12" s="12">
        <v>0.3271028037383177</v>
      </c>
    </row>
    <row r="13">
      <c r="A13" s="10" t="s">
        <v>13</v>
      </c>
      <c r="B13" s="10" t="s">
        <v>11</v>
      </c>
      <c r="C13" s="11">
        <v>0.0</v>
      </c>
      <c r="D13" s="11">
        <v>0.0</v>
      </c>
      <c r="E13" s="11">
        <v>52000.0</v>
      </c>
      <c r="F13" s="11">
        <v>0.0</v>
      </c>
      <c r="G13" s="11">
        <v>52000.0</v>
      </c>
      <c r="H13" s="11">
        <v>35000.0</v>
      </c>
      <c r="I13" s="11">
        <v>17000.0</v>
      </c>
      <c r="J13" s="12">
        <v>0.3269230769230769</v>
      </c>
    </row>
    <row r="14">
      <c r="A14" s="10" t="s">
        <v>13</v>
      </c>
      <c r="B14" s="10" t="s">
        <v>14</v>
      </c>
      <c r="C14" s="11">
        <v>45000.0</v>
      </c>
      <c r="D14" s="11">
        <v>30000.0</v>
      </c>
      <c r="E14" s="11">
        <v>0.0</v>
      </c>
      <c r="F14" s="11">
        <v>56000.0</v>
      </c>
      <c r="G14" s="11">
        <v>131000.0</v>
      </c>
      <c r="H14" s="11">
        <v>90000.0</v>
      </c>
      <c r="I14" s="11">
        <v>41000.0</v>
      </c>
      <c r="J14" s="12">
        <v>0.3129770992366412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10.5"/>
    <col customWidth="1" min="6" max="6" width="13.13"/>
    <col customWidth="1" min="7" max="8" width="10.5"/>
    <col customWidth="1" min="9" max="9" width="18.38"/>
    <col customWidth="1" min="10" max="11" width="7.63"/>
  </cols>
  <sheetData>
    <row r="1">
      <c r="A1" s="9" t="s">
        <v>0</v>
      </c>
      <c r="B1" s="9" t="s">
        <v>19</v>
      </c>
      <c r="C1" s="9" t="s">
        <v>20</v>
      </c>
      <c r="D1" s="9" t="s">
        <v>21</v>
      </c>
      <c r="E1" s="9" t="s">
        <v>22</v>
      </c>
      <c r="F1" s="9" t="s">
        <v>23</v>
      </c>
      <c r="G1" s="9" t="s">
        <v>24</v>
      </c>
      <c r="H1" s="9" t="s">
        <v>5</v>
      </c>
      <c r="I1" s="9" t="s">
        <v>6</v>
      </c>
    </row>
    <row r="2">
      <c r="A2" s="10" t="s">
        <v>12</v>
      </c>
      <c r="B2" s="11">
        <v>50000.0</v>
      </c>
      <c r="C2" s="11">
        <v>113000.0</v>
      </c>
      <c r="D2" s="11">
        <v>55000.0</v>
      </c>
      <c r="E2" s="11">
        <v>137000.0</v>
      </c>
      <c r="F2" s="11">
        <v>355000.0</v>
      </c>
      <c r="G2" s="11">
        <v>242000.0</v>
      </c>
      <c r="H2" s="11">
        <v>113000.0</v>
      </c>
      <c r="I2" s="12">
        <v>0.3183098591549296</v>
      </c>
    </row>
    <row r="3">
      <c r="A3" s="10" t="s">
        <v>7</v>
      </c>
      <c r="B3" s="11">
        <v>92000.0</v>
      </c>
      <c r="C3" s="11">
        <v>70000.0</v>
      </c>
      <c r="D3" s="11">
        <v>120000.0</v>
      </c>
      <c r="E3" s="11">
        <v>75000.0</v>
      </c>
      <c r="F3" s="11">
        <v>357000.0</v>
      </c>
      <c r="G3" s="11">
        <v>241000.0</v>
      </c>
      <c r="H3" s="11">
        <v>116000.0</v>
      </c>
      <c r="I3" s="12">
        <v>0.3249299719887955</v>
      </c>
    </row>
    <row r="4">
      <c r="A4" s="10" t="s">
        <v>10</v>
      </c>
      <c r="B4" s="11">
        <v>40000.0</v>
      </c>
      <c r="C4" s="11">
        <v>102000.0</v>
      </c>
      <c r="D4" s="11">
        <v>111000.0</v>
      </c>
      <c r="E4" s="11">
        <v>68000.0</v>
      </c>
      <c r="F4" s="11">
        <v>321000.0</v>
      </c>
      <c r="G4" s="11">
        <v>219000.0</v>
      </c>
      <c r="H4" s="11">
        <v>102000.0</v>
      </c>
      <c r="I4" s="12">
        <v>0.3177570093457944</v>
      </c>
    </row>
    <row r="5">
      <c r="A5" s="10" t="s">
        <v>13</v>
      </c>
      <c r="B5" s="11">
        <v>45000.0</v>
      </c>
      <c r="C5" s="11">
        <v>79000.0</v>
      </c>
      <c r="D5" s="11">
        <v>52000.0</v>
      </c>
      <c r="E5" s="11">
        <v>114000.0</v>
      </c>
      <c r="F5" s="11">
        <v>290000.0</v>
      </c>
      <c r="G5" s="11">
        <v>197000.0</v>
      </c>
      <c r="H5" s="11">
        <v>93000.0</v>
      </c>
      <c r="I5" s="12">
        <v>0.3206896551724138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conditionalFormatting sqref="I2:I5">
    <cfRule type="cellIs" dxfId="1" priority="1" operator="greaterThanOrEqual">
      <formula>0.3</formula>
    </cfRule>
  </conditionalFormatting>
  <conditionalFormatting sqref="I2:I5">
    <cfRule type="cellIs" dxfId="3" priority="2" operator="lessThan">
      <formula>0.2</formula>
    </cfRule>
  </conditionalFormatting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10.5"/>
    <col customWidth="1" min="6" max="6" width="13.13"/>
    <col customWidth="1" min="7" max="8" width="10.5"/>
    <col customWidth="1" min="9" max="9" width="18.38"/>
    <col customWidth="1" min="10" max="11" width="7.63"/>
  </cols>
  <sheetData>
    <row r="1">
      <c r="A1" s="9" t="s">
        <v>1</v>
      </c>
      <c r="B1" s="9" t="s">
        <v>19</v>
      </c>
      <c r="C1" s="9" t="s">
        <v>20</v>
      </c>
      <c r="D1" s="9" t="s">
        <v>21</v>
      </c>
      <c r="E1" s="9" t="s">
        <v>22</v>
      </c>
      <c r="F1" s="9" t="s">
        <v>23</v>
      </c>
      <c r="G1" s="9" t="s">
        <v>24</v>
      </c>
      <c r="H1" s="9" t="s">
        <v>5</v>
      </c>
      <c r="I1" s="9" t="s">
        <v>6</v>
      </c>
    </row>
    <row r="2">
      <c r="A2" s="10" t="s">
        <v>8</v>
      </c>
      <c r="B2" s="11">
        <v>100000.0</v>
      </c>
      <c r="C2" s="11">
        <v>164000.0</v>
      </c>
      <c r="D2" s="11">
        <v>51000.0</v>
      </c>
      <c r="E2" s="11">
        <v>205000.0</v>
      </c>
      <c r="F2" s="11">
        <v>520000.0</v>
      </c>
      <c r="G2" s="11">
        <v>353000.0</v>
      </c>
      <c r="H2" s="11">
        <v>167000.0</v>
      </c>
      <c r="I2" s="12">
        <v>0.3211538461538462</v>
      </c>
    </row>
    <row r="3">
      <c r="A3" s="10" t="s">
        <v>11</v>
      </c>
      <c r="B3" s="11">
        <v>40000.0</v>
      </c>
      <c r="C3" s="11">
        <v>170000.0</v>
      </c>
      <c r="D3" s="11">
        <v>110000.0</v>
      </c>
      <c r="E3" s="11">
        <v>133000.0</v>
      </c>
      <c r="F3" s="11">
        <v>453000.0</v>
      </c>
      <c r="G3" s="11">
        <v>305000.0</v>
      </c>
      <c r="H3" s="11">
        <v>148000.0</v>
      </c>
      <c r="I3" s="12">
        <v>0.3267108167770419</v>
      </c>
    </row>
    <row r="4">
      <c r="A4" s="10" t="s">
        <v>14</v>
      </c>
      <c r="B4" s="11">
        <v>87000.0</v>
      </c>
      <c r="C4" s="11">
        <v>30000.0</v>
      </c>
      <c r="D4" s="11">
        <v>177000.0</v>
      </c>
      <c r="E4" s="11">
        <v>56000.0</v>
      </c>
      <c r="F4" s="11">
        <v>350000.0</v>
      </c>
      <c r="G4" s="11">
        <v>241000.0</v>
      </c>
      <c r="H4" s="11">
        <v>109000.0</v>
      </c>
      <c r="I4" s="12">
        <v>0.3114285714285714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0.5"/>
    <col customWidth="1" min="4" max="4" width="18.38"/>
    <col customWidth="1" min="5" max="5" width="10.5"/>
    <col customWidth="1" min="6" max="6" width="19.25"/>
    <col customWidth="1" min="7" max="7" width="10.5"/>
    <col customWidth="1" min="8" max="8" width="19.25"/>
    <col customWidth="1" min="9" max="11" width="7.63"/>
  </cols>
  <sheetData>
    <row r="1">
      <c r="A1" s="9" t="s">
        <v>0</v>
      </c>
      <c r="B1" s="9" t="s">
        <v>19</v>
      </c>
      <c r="C1" s="9" t="s">
        <v>20</v>
      </c>
      <c r="D1" s="9" t="s">
        <v>25</v>
      </c>
      <c r="E1" s="9" t="s">
        <v>21</v>
      </c>
      <c r="F1" s="9" t="s">
        <v>26</v>
      </c>
      <c r="G1" s="9" t="s">
        <v>22</v>
      </c>
      <c r="H1" s="9" t="s">
        <v>27</v>
      </c>
    </row>
    <row r="2">
      <c r="A2" s="10" t="s">
        <v>12</v>
      </c>
      <c r="B2" s="11">
        <v>50000.0</v>
      </c>
      <c r="C2" s="10">
        <v>113000.0</v>
      </c>
      <c r="D2" s="12">
        <v>1.26</v>
      </c>
      <c r="E2" s="11">
        <v>55000.0</v>
      </c>
      <c r="F2" s="12">
        <v>-0.5132743362831859</v>
      </c>
      <c r="G2" s="11">
        <v>137000.0</v>
      </c>
      <c r="H2" s="12">
        <v>1.490909090909091</v>
      </c>
    </row>
    <row r="3">
      <c r="A3" s="10" t="s">
        <v>7</v>
      </c>
      <c r="B3" s="11">
        <v>92000.0</v>
      </c>
      <c r="C3" s="10">
        <v>70000.0</v>
      </c>
      <c r="D3" s="12">
        <v>-0.2391304347826087</v>
      </c>
      <c r="E3" s="11">
        <v>120000.0</v>
      </c>
      <c r="F3" s="12">
        <v>0.7142857142857143</v>
      </c>
      <c r="G3" s="11">
        <v>75000.0</v>
      </c>
      <c r="H3" s="12">
        <v>-0.375</v>
      </c>
    </row>
    <row r="4">
      <c r="A4" s="10" t="s">
        <v>10</v>
      </c>
      <c r="B4" s="11">
        <v>40000.0</v>
      </c>
      <c r="C4" s="10">
        <v>102000.0</v>
      </c>
      <c r="D4" s="12">
        <v>1.55</v>
      </c>
      <c r="E4" s="11">
        <v>111000.0</v>
      </c>
      <c r="F4" s="12">
        <v>0.08823529411764706</v>
      </c>
      <c r="G4" s="11">
        <v>68000.0</v>
      </c>
      <c r="H4" s="12">
        <v>-0.3873873873873874</v>
      </c>
    </row>
    <row r="5">
      <c r="A5" s="10" t="s">
        <v>13</v>
      </c>
      <c r="B5" s="11">
        <v>45000.0</v>
      </c>
      <c r="C5" s="10">
        <v>79000.0</v>
      </c>
      <c r="D5" s="12">
        <v>0.7555555555555555</v>
      </c>
      <c r="E5" s="11">
        <v>52000.0</v>
      </c>
      <c r="F5" s="12">
        <v>-0.3417721518987342</v>
      </c>
      <c r="G5" s="11">
        <v>114000.0</v>
      </c>
      <c r="H5" s="12">
        <v>1.192307692307692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conditionalFormatting sqref="D2:H5">
    <cfRule type="colorScale" priority="1">
      <colorScale>
        <cfvo type="min"/>
        <cfvo type="percentile" val="50"/>
        <cfvo type="max"/>
        <color rgb="FFFFC7CE"/>
        <color rgb="FFFFEB9C"/>
        <color rgb="FFC6EFCE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2" width="13.13"/>
  </cols>
  <sheetData>
    <row r="1">
      <c r="A1" s="13" t="s">
        <v>28</v>
      </c>
    </row>
    <row r="2">
      <c r="A2" s="14" t="s">
        <v>29</v>
      </c>
    </row>
    <row r="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>
      <c r="A4" s="15" t="s">
        <v>23</v>
      </c>
      <c r="B4" s="16"/>
      <c r="C4" s="10"/>
      <c r="D4" s="15" t="s">
        <v>30</v>
      </c>
      <c r="E4" s="16"/>
      <c r="F4" s="10"/>
      <c r="G4" s="15" t="s">
        <v>31</v>
      </c>
      <c r="H4" s="16"/>
      <c r="I4" s="10"/>
      <c r="J4" s="15" t="s">
        <v>22</v>
      </c>
      <c r="K4" s="16"/>
      <c r="L4" s="10"/>
    </row>
    <row r="5">
      <c r="A5" s="17">
        <v>1323000.0</v>
      </c>
      <c r="B5" s="18"/>
      <c r="C5" s="10"/>
      <c r="D5" s="17">
        <v>424000.0</v>
      </c>
      <c r="E5" s="18"/>
      <c r="F5" s="10"/>
      <c r="G5" s="19">
        <v>0.3204837490551776</v>
      </c>
      <c r="H5" s="18"/>
      <c r="I5" s="10"/>
      <c r="J5" s="17">
        <v>394000.0</v>
      </c>
      <c r="K5" s="18"/>
      <c r="L5" s="10"/>
    </row>
    <row r="6">
      <c r="A6" s="20"/>
      <c r="B6" s="21"/>
      <c r="C6" s="10"/>
      <c r="D6" s="20"/>
      <c r="E6" s="21"/>
      <c r="F6" s="10"/>
      <c r="G6" s="20"/>
      <c r="H6" s="21"/>
      <c r="I6" s="10"/>
      <c r="J6" s="20"/>
      <c r="K6" s="21"/>
      <c r="L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>
      <c r="A8" s="22" t="s">
        <v>32</v>
      </c>
      <c r="B8" s="10"/>
      <c r="C8" s="10"/>
      <c r="D8" s="10"/>
      <c r="E8" s="10"/>
      <c r="F8" s="10"/>
      <c r="G8" s="10"/>
      <c r="H8" s="22" t="s">
        <v>33</v>
      </c>
      <c r="I8" s="10"/>
      <c r="J8" s="10"/>
      <c r="K8" s="10"/>
      <c r="L8" s="10"/>
    </row>
    <row r="9">
      <c r="A9" s="9" t="s">
        <v>0</v>
      </c>
      <c r="B9" s="9" t="s">
        <v>23</v>
      </c>
      <c r="C9" s="9" t="s">
        <v>6</v>
      </c>
      <c r="D9" s="9"/>
      <c r="E9" s="9"/>
      <c r="F9" s="9"/>
      <c r="G9" s="9"/>
      <c r="H9" s="23" t="s">
        <v>0</v>
      </c>
      <c r="I9" s="9" t="s">
        <v>34</v>
      </c>
      <c r="J9" s="9"/>
      <c r="K9" s="9"/>
      <c r="L9" s="9"/>
    </row>
    <row r="10">
      <c r="A10" s="10" t="s">
        <v>12</v>
      </c>
      <c r="B10" s="11">
        <v>355000.0</v>
      </c>
      <c r="C10" s="12">
        <v>0.3183098591549296</v>
      </c>
      <c r="D10" s="10"/>
      <c r="E10" s="10"/>
      <c r="F10" s="10"/>
      <c r="G10" s="10"/>
      <c r="H10" s="24" t="s">
        <v>1</v>
      </c>
      <c r="I10" s="10" t="s">
        <v>34</v>
      </c>
      <c r="J10" s="10"/>
      <c r="K10" s="10"/>
      <c r="L10" s="10"/>
    </row>
    <row r="11">
      <c r="A11" s="10" t="s">
        <v>7</v>
      </c>
      <c r="B11" s="11">
        <v>357000.0</v>
      </c>
      <c r="C11" s="12">
        <v>0.3249299719887955</v>
      </c>
      <c r="D11" s="10"/>
      <c r="E11" s="10"/>
      <c r="F11" s="10"/>
      <c r="G11" s="10"/>
      <c r="H11" s="24" t="s">
        <v>2</v>
      </c>
      <c r="I11" s="10" t="s">
        <v>34</v>
      </c>
      <c r="J11" s="10"/>
      <c r="K11" s="10"/>
      <c r="L11" s="10"/>
    </row>
    <row r="12">
      <c r="A12" s="10" t="s">
        <v>10</v>
      </c>
      <c r="B12" s="11">
        <v>321000.0</v>
      </c>
      <c r="C12" s="12">
        <v>0.3177570093457944</v>
      </c>
      <c r="D12" s="10"/>
      <c r="E12" s="10"/>
      <c r="F12" s="10"/>
      <c r="G12" s="10"/>
      <c r="H12" s="10"/>
      <c r="I12" s="10"/>
      <c r="J12" s="10"/>
      <c r="K12" s="10"/>
      <c r="L12" s="10"/>
    </row>
    <row r="13">
      <c r="A13" s="10" t="s">
        <v>13</v>
      </c>
      <c r="B13" s="11">
        <v>290000.0</v>
      </c>
      <c r="C13" s="12">
        <v>0.3206896551724138</v>
      </c>
      <c r="D13" s="10"/>
      <c r="E13" s="10"/>
      <c r="F13" s="10"/>
      <c r="G13" s="10"/>
      <c r="H13" s="25" t="s">
        <v>35</v>
      </c>
    </row>
    <row r="14">
      <c r="A14" s="10"/>
      <c r="B14" s="10"/>
      <c r="C14" s="10"/>
      <c r="D14" s="10"/>
      <c r="E14" s="10"/>
      <c r="F14" s="10"/>
      <c r="G14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1">
    <mergeCell ref="D5:E6"/>
    <mergeCell ref="D4:E4"/>
    <mergeCell ref="H13:L14"/>
    <mergeCell ref="A4:B4"/>
    <mergeCell ref="G4:H4"/>
    <mergeCell ref="A2:L2"/>
    <mergeCell ref="J4:K4"/>
    <mergeCell ref="A1:L1"/>
    <mergeCell ref="A5:B6"/>
    <mergeCell ref="G5:H6"/>
    <mergeCell ref="J5:K6"/>
  </mergeCells>
  <dataValidations>
    <dataValidation type="list" allowBlank="1" sqref="I11">
      <formula1>"All,Q1,Q2,Q3,Q4"</formula1>
    </dataValidation>
    <dataValidation type="list" allowBlank="1" sqref="I9">
      <formula1>"All,East,North,South,West"</formula1>
    </dataValidation>
    <dataValidation type="list" allowBlank="1" sqref="I10">
      <formula1>"All,Laptop,Mobile,Tablet"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2.5"/>
    <col customWidth="1" min="2" max="8" width="10.5"/>
    <col customWidth="1" min="9" max="11" width="7.63"/>
  </cols>
  <sheetData>
    <row r="1">
      <c r="A1" s="8" t="s">
        <v>36</v>
      </c>
    </row>
    <row r="2">
      <c r="A2" s="10"/>
      <c r="B2" s="10"/>
      <c r="C2" s="10"/>
      <c r="D2" s="10"/>
      <c r="E2" s="10"/>
      <c r="F2" s="10"/>
      <c r="G2" s="10"/>
      <c r="H2" s="10"/>
    </row>
    <row r="3">
      <c r="A3" s="10" t="s">
        <v>37</v>
      </c>
    </row>
    <row r="4">
      <c r="A4" s="10" t="s">
        <v>38</v>
      </c>
    </row>
    <row r="5">
      <c r="A5" s="10" t="s">
        <v>39</v>
      </c>
    </row>
    <row r="6">
      <c r="A6" s="10" t="s">
        <v>40</v>
      </c>
    </row>
    <row r="7">
      <c r="A7" s="10" t="s">
        <v>41</v>
      </c>
    </row>
    <row r="8">
      <c r="A8" s="10" t="s">
        <v>42</v>
      </c>
    </row>
    <row r="9">
      <c r="A9" s="10" t="s">
        <v>43</v>
      </c>
    </row>
    <row r="10">
      <c r="A10" s="10" t="s">
        <v>44</v>
      </c>
    </row>
    <row r="11">
      <c r="A11" s="10"/>
      <c r="B11" s="10"/>
      <c r="C11" s="10"/>
      <c r="D11" s="10"/>
      <c r="E11" s="10"/>
      <c r="F11" s="10"/>
      <c r="G11" s="10"/>
      <c r="H11" s="10"/>
    </row>
    <row r="12">
      <c r="A12" s="10"/>
      <c r="B12" s="10"/>
      <c r="C12" s="10"/>
      <c r="D12" s="10"/>
      <c r="E12" s="10"/>
      <c r="F12" s="10"/>
      <c r="G12" s="10"/>
      <c r="H12" s="10"/>
    </row>
    <row r="13">
      <c r="A13" s="26" t="s">
        <v>45</v>
      </c>
      <c r="B13" s="10"/>
      <c r="C13" s="10"/>
      <c r="D13" s="10"/>
      <c r="E13" s="10"/>
      <c r="F13" s="10"/>
      <c r="G13" s="10"/>
      <c r="H13" s="10"/>
    </row>
    <row r="14">
      <c r="A14" s="27" t="s">
        <v>46</v>
      </c>
    </row>
    <row r="15">
      <c r="A15" s="27" t="s">
        <v>47</v>
      </c>
    </row>
    <row r="16">
      <c r="A16" s="27" t="s">
        <v>48</v>
      </c>
    </row>
    <row r="17">
      <c r="A17" s="27" t="s">
        <v>49</v>
      </c>
    </row>
    <row r="18">
      <c r="A18" s="27" t="s">
        <v>50</v>
      </c>
    </row>
    <row r="19">
      <c r="A19" s="27" t="s">
        <v>51</v>
      </c>
    </row>
    <row r="20">
      <c r="A20" s="27" t="s">
        <v>52</v>
      </c>
    </row>
    <row r="21" ht="15.75" customHeight="1">
      <c r="A21" s="27" t="s">
        <v>53</v>
      </c>
    </row>
    <row r="22" ht="15.75" customHeight="1">
      <c r="A22" s="27" t="s">
        <v>54</v>
      </c>
    </row>
    <row r="23" ht="15.75" customHeight="1">
      <c r="A23" s="27" t="s">
        <v>55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9">
    <mergeCell ref="A18:H18"/>
    <mergeCell ref="A21:H21"/>
    <mergeCell ref="A23:H23"/>
    <mergeCell ref="A22:H22"/>
    <mergeCell ref="A20:H20"/>
    <mergeCell ref="A19:H19"/>
    <mergeCell ref="A6:H6"/>
    <mergeCell ref="A5:H5"/>
    <mergeCell ref="A16:H16"/>
    <mergeCell ref="A17:H17"/>
    <mergeCell ref="A9:H9"/>
    <mergeCell ref="A10:H10"/>
    <mergeCell ref="A15:H15"/>
    <mergeCell ref="A1:H1"/>
    <mergeCell ref="A7:H7"/>
    <mergeCell ref="A3:H3"/>
    <mergeCell ref="A14:H14"/>
    <mergeCell ref="A8:H8"/>
    <mergeCell ref="A4:H4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87.5"/>
    <col customWidth="1" min="3" max="11" width="7.63"/>
  </cols>
  <sheetData>
    <row r="1">
      <c r="A1" s="8" t="s">
        <v>56</v>
      </c>
      <c r="B1" s="10"/>
    </row>
    <row r="2">
      <c r="A2" s="10"/>
      <c r="B2" s="10"/>
    </row>
    <row r="3">
      <c r="A3" s="26" t="s">
        <v>57</v>
      </c>
      <c r="B3" s="25" t="s">
        <v>58</v>
      </c>
    </row>
    <row r="4">
      <c r="A4" s="26" t="s">
        <v>59</v>
      </c>
      <c r="B4" s="25" t="s">
        <v>60</v>
      </c>
    </row>
    <row r="5">
      <c r="A5" s="26" t="s">
        <v>61</v>
      </c>
      <c r="B5" s="25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61.25"/>
    <col customWidth="1" min="3" max="11" width="7.63"/>
  </cols>
  <sheetData>
    <row r="1">
      <c r="A1" s="8" t="s">
        <v>63</v>
      </c>
      <c r="B1" s="10"/>
    </row>
    <row r="2">
      <c r="A2" s="9" t="s">
        <v>64</v>
      </c>
      <c r="B2" s="9" t="s">
        <v>65</v>
      </c>
    </row>
    <row r="3">
      <c r="A3" s="10">
        <v>1.0</v>
      </c>
      <c r="B3" s="10" t="s">
        <v>66</v>
      </c>
    </row>
    <row r="4">
      <c r="A4" s="10">
        <v>2.0</v>
      </c>
      <c r="B4" s="10" t="s">
        <v>67</v>
      </c>
    </row>
    <row r="5">
      <c r="A5" s="10">
        <v>3.0</v>
      </c>
      <c r="B5" s="10" t="s">
        <v>68</v>
      </c>
    </row>
    <row r="6">
      <c r="A6" s="10">
        <v>4.0</v>
      </c>
      <c r="B6" s="10" t="s">
        <v>69</v>
      </c>
    </row>
    <row r="7">
      <c r="A7" s="10">
        <v>5.0</v>
      </c>
      <c r="B7" s="10" t="s">
        <v>70</v>
      </c>
    </row>
    <row r="8">
      <c r="A8" s="10">
        <v>6.0</v>
      </c>
      <c r="B8" s="10" t="s">
        <v>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2.5"/>
    <col customWidth="1" min="2" max="2" width="10.5"/>
    <col customWidth="1" min="3" max="11" width="7.63"/>
  </cols>
  <sheetData>
    <row r="1">
      <c r="A1" s="9" t="s">
        <v>72</v>
      </c>
      <c r="B1" s="9" t="s">
        <v>73</v>
      </c>
    </row>
    <row r="2">
      <c r="A2" s="10" t="s">
        <v>74</v>
      </c>
      <c r="B2" s="28" t="s">
        <v>75</v>
      </c>
    </row>
    <row r="3">
      <c r="A3" s="10" t="s">
        <v>76</v>
      </c>
      <c r="B3" s="28" t="s">
        <v>75</v>
      </c>
    </row>
    <row r="4">
      <c r="A4" s="10" t="s">
        <v>77</v>
      </c>
      <c r="B4" s="28" t="s">
        <v>75</v>
      </c>
    </row>
    <row r="5">
      <c r="A5" s="10" t="s">
        <v>78</v>
      </c>
      <c r="B5" s="28" t="s">
        <v>75</v>
      </c>
    </row>
    <row r="6">
      <c r="A6" s="10" t="s">
        <v>79</v>
      </c>
      <c r="B6" s="28" t="s">
        <v>75</v>
      </c>
    </row>
    <row r="7">
      <c r="A7" s="10" t="s">
        <v>80</v>
      </c>
      <c r="B7" s="28" t="s">
        <v>75</v>
      </c>
    </row>
    <row r="8">
      <c r="A8" s="10" t="s">
        <v>81</v>
      </c>
      <c r="B8" s="28" t="s">
        <v>75</v>
      </c>
    </row>
    <row r="9">
      <c r="A9" s="10" t="s">
        <v>82</v>
      </c>
      <c r="B9" s="28" t="s">
        <v>75</v>
      </c>
    </row>
    <row r="10">
      <c r="A10" s="10" t="s">
        <v>83</v>
      </c>
      <c r="B10" s="28" t="s">
        <v>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2026-10-06T14:20:04Z</dcterms:created>
  <dc:creator>openpyxl</dc:creator>
  <dcterms:modified xsi:type="dcterms:W3CDTF">2026-10-06T14:20:04Z</dcterms:modified>
</cp:coreProperties>
</file>